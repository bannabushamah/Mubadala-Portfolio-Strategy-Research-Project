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GFS_DCF" sheetId="2" state="visible" r:id="rId2"/>
    <sheet xmlns:r="http://schemas.openxmlformats.org/officeDocument/2006/relationships" name="OMV_DCF" sheetId="3" state="visible" r:id="rId3"/>
    <sheet xmlns:r="http://schemas.openxmlformats.org/officeDocument/2006/relationships" name="OMV_Dividend_Test" sheetId="4" state="visible" r:id="rId4"/>
    <sheet xmlns:r="http://schemas.openxmlformats.org/officeDocument/2006/relationships" name="WHOOP_Reverse_DCF" sheetId="5" state="visible" r:id="rId5"/>
    <sheet xmlns:r="http://schemas.openxmlformats.org/officeDocument/2006/relationships" name="Mubadala_Capital" sheetId="6" state="visible" r:id="rId6"/>
    <sheet xmlns:r="http://schemas.openxmlformats.org/officeDocument/2006/relationships" name="Source_Register" sheetId="7" state="visible" r:id="rId7"/>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0.0x"/>
    <numFmt numFmtId="168" formatCode="0.0"/>
  </numFmts>
  <fonts count="14">
    <font>
      <name val="Calibri"/>
      <family val="2"/>
      <color theme="1"/>
      <sz val="11"/>
      <scheme val="minor"/>
    </font>
    <font>
      <name val="Calibri"/>
      <b val="1"/>
      <color rgb="00FFFFFF"/>
      <sz val="14"/>
    </font>
    <font>
      <name val="Calibri"/>
      <color rgb="00000000"/>
      <sz val="10"/>
    </font>
    <font>
      <name val="Calibri"/>
      <sz val="10"/>
    </font>
    <font>
      <name val="Calibri"/>
      <b val="1"/>
      <color rgb="000B2545"/>
      <sz val="10"/>
    </font>
    <font>
      <name val="Calibri"/>
      <color rgb="000000CC"/>
      <sz val="10"/>
    </font>
    <font>
      <b val="1"/>
      <color rgb="000B2545"/>
      <sz val="10"/>
    </font>
    <font>
      <b val="1"/>
      <sz val="10"/>
    </font>
    <font>
      <i val="1"/>
      <sz val="9"/>
    </font>
    <font>
      <b val="1"/>
      <color rgb="00FFFFFF"/>
      <sz val="10"/>
    </font>
    <font>
      <name val="Calibri"/>
      <b val="1"/>
      <color rgb="000B2545"/>
      <sz val="11"/>
    </font>
    <font>
      <sz val="10"/>
    </font>
    <font>
      <i val="1"/>
      <sz val="10"/>
    </font>
    <font>
      <sz val="9"/>
    </font>
  </fonts>
  <fills count="5">
    <fill>
      <patternFill/>
    </fill>
    <fill>
      <patternFill patternType="gray125"/>
    </fill>
    <fill>
      <patternFill patternType="solid">
        <fgColor rgb="000B2545"/>
      </patternFill>
    </fill>
    <fill>
      <patternFill patternType="solid">
        <fgColor rgb="00EEF2F7"/>
      </patternFill>
    </fill>
    <fill>
      <patternFill patternType="solid">
        <fgColor rgb="00C9A227"/>
      </patternFill>
    </fill>
  </fills>
  <borders count="1">
    <border>
      <left/>
      <right/>
      <top/>
      <bottom/>
      <diagonal/>
    </border>
  </borders>
  <cellStyleXfs count="1">
    <xf numFmtId="0" fontId="0" fillId="0" borderId="0"/>
  </cellStyleXfs>
  <cellXfs count="35">
    <xf numFmtId="0" fontId="0" fillId="0" borderId="0" pivotButton="0" quotePrefix="0" xfId="0"/>
    <xf numFmtId="0" fontId="1" fillId="2" borderId="0" applyAlignment="1" pivotButton="0" quotePrefix="0" xfId="0">
      <alignment vertical="center" indent="1"/>
    </xf>
    <xf numFmtId="0" fontId="2" fillId="0" borderId="0" pivotButton="0" quotePrefix="0" xfId="0"/>
    <xf numFmtId="0" fontId="3" fillId="0" borderId="0" pivotButton="0" quotePrefix="0" xfId="0"/>
    <xf numFmtId="0" fontId="4" fillId="0" borderId="0" pivotButton="0" quotePrefix="0" xfId="0"/>
    <xf numFmtId="2" fontId="5" fillId="0" borderId="0" pivotButton="0" quotePrefix="0" xfId="0"/>
    <xf numFmtId="164" fontId="5" fillId="0" borderId="0" pivotButton="0" quotePrefix="0" xfId="0"/>
    <xf numFmtId="3" fontId="5" fillId="0" borderId="0" pivotButton="0" quotePrefix="0" xfId="0"/>
    <xf numFmtId="3" fontId="2" fillId="0" borderId="0" pivotButton="0" quotePrefix="0" xfId="0"/>
    <xf numFmtId="10" fontId="5" fillId="0" borderId="0" pivotButton="0" quotePrefix="0" xfId="0"/>
    <xf numFmtId="10" fontId="2" fillId="0" borderId="0" pivotButton="0" quotePrefix="0" xfId="0"/>
    <xf numFmtId="165" fontId="2" fillId="0" borderId="0" pivotButton="0" quotePrefix="0" xfId="0"/>
    <xf numFmtId="0" fontId="6" fillId="3" borderId="0" applyAlignment="1" pivotButton="0" quotePrefix="0" xfId="0">
      <alignment horizontal="center"/>
    </xf>
    <xf numFmtId="165" fontId="5" fillId="0" borderId="0" pivotButton="0" quotePrefix="0" xfId="0"/>
    <xf numFmtId="3" fontId="7" fillId="3" borderId="0" pivotButton="0" quotePrefix="0" xfId="0"/>
    <xf numFmtId="166" fontId="2" fillId="0" borderId="0" pivotButton="0" quotePrefix="0" xfId="0"/>
    <xf numFmtId="3" fontId="6" fillId="4" borderId="0" pivotButton="0" quotePrefix="0" xfId="0"/>
    <xf numFmtId="2" fontId="6" fillId="4" borderId="0" pivotButton="0" quotePrefix="0" xfId="0"/>
    <xf numFmtId="2" fontId="2" fillId="0" borderId="0" pivotButton="0" quotePrefix="0" xfId="0"/>
    <xf numFmtId="167" fontId="5" fillId="0" borderId="0" pivotButton="0" quotePrefix="0" xfId="0"/>
    <xf numFmtId="0" fontId="8" fillId="0" borderId="0" pivotButton="0" quotePrefix="0" xfId="0"/>
    <xf numFmtId="0" fontId="9" fillId="2" borderId="0" pivotButton="0" quotePrefix="0" xfId="0"/>
    <xf numFmtId="1" fontId="5" fillId="0" borderId="0" pivotButton="0" quotePrefix="0" xfId="0"/>
    <xf numFmtId="0" fontId="10" fillId="0" borderId="0" pivotButton="0" quotePrefix="0" xfId="0"/>
    <xf numFmtId="0" fontId="0" fillId="0" borderId="0" applyAlignment="1" pivotButton="0" quotePrefix="0" xfId="0">
      <alignment vertical="top" wrapText="1"/>
    </xf>
    <xf numFmtId="168" fontId="5" fillId="0" borderId="0" pivotButton="0" quotePrefix="0" xfId="0"/>
    <xf numFmtId="167" fontId="2" fillId="0" borderId="0" pivotButton="0" quotePrefix="0" xfId="0"/>
    <xf numFmtId="0" fontId="6" fillId="0" borderId="0" pivotButton="0" quotePrefix="0" xfId="0"/>
    <xf numFmtId="0" fontId="6" fillId="3" borderId="0" pivotButton="0" quotePrefix="0" xfId="0"/>
    <xf numFmtId="1" fontId="2" fillId="0" borderId="0" pivotButton="0" quotePrefix="0" xfId="0"/>
    <xf numFmtId="168" fontId="2" fillId="0" borderId="0" pivotButton="0" quotePrefix="0" xfId="0"/>
    <xf numFmtId="0" fontId="11" fillId="0" borderId="0" pivotButton="0" quotePrefix="0" xfId="0"/>
    <xf numFmtId="4" fontId="5" fillId="0" borderId="0" pivotButton="0" quotePrefix="0" xfId="0"/>
    <xf numFmtId="0" fontId="12" fillId="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OMV: FCF cover of the dividend (x)</a:t>
            </a:r>
          </a:p>
        </rich>
      </tx>
    </title>
    <plotArea>
      <lineChart>
        <grouping val="standard"/>
        <ser>
          <idx val="0"/>
          <order val="0"/>
          <tx>
            <strRef>
              <f>'OMV_Dividend_Test'!F3</f>
            </strRef>
          </tx>
          <spPr>
            <a:ln xmlns:a="http://schemas.openxmlformats.org/drawingml/2006/main">
              <a:prstDash val="solid"/>
            </a:ln>
          </spPr>
          <marker>
            <symbol val="none"/>
            <spPr>
              <a:ln xmlns:a="http://schemas.openxmlformats.org/drawingml/2006/main">
                <a:prstDash val="solid"/>
              </a:ln>
            </spPr>
          </marker>
          <cat>
            <numRef>
              <f>'OMV_Dividend_Test'!$A$4:$A$8</f>
            </numRef>
          </cat>
          <val>
            <numRef>
              <f>'OMV_Dividend_Test'!$F$4:$F$8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13</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22"/>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MUBADALA PORTFOLIO STRATEGY  |  VALUATION MODELS</t>
        </is>
      </c>
    </row>
    <row r="3">
      <c r="A3" s="2" t="inlineStr">
        <is>
          <t>Project</t>
        </is>
      </c>
      <c r="B3" s="3" t="inlineStr">
        <is>
          <t>Equity Research - Mubadala Portfolio Strategy Analyst</t>
        </is>
      </c>
    </row>
    <row r="4">
      <c r="A4" s="2" t="inlineStr">
        <is>
          <t>Author</t>
        </is>
      </c>
      <c r="B4" s="3" t="inlineStr">
        <is>
          <t>bann</t>
        </is>
      </c>
    </row>
    <row r="5">
      <c r="A5" s="2" t="inlineStr">
        <is>
          <t>Valuation date</t>
        </is>
      </c>
      <c r="B5" s="3" t="inlineStr">
        <is>
          <t>4 August 2026</t>
        </is>
      </c>
    </row>
    <row r="6">
      <c r="A6" s="2" t="inlineStr">
        <is>
          <t>Currency</t>
        </is>
      </c>
      <c r="B6" s="3" t="inlineStr">
        <is>
          <t>USD millions unless stated; OMV in EUR millions</t>
        </is>
      </c>
    </row>
    <row r="7">
      <c r="A7" s="2" t="inlineStr"/>
      <c r="B7" s="3" t="inlineStr"/>
    </row>
    <row r="8">
      <c r="A8" s="4" t="inlineStr">
        <is>
          <t>CASE STUDIES</t>
        </is>
      </c>
      <c r="B8" s="3" t="inlineStr"/>
    </row>
    <row r="9">
      <c r="A9" s="2" t="inlineStr">
        <is>
          <t xml:space="preserve">  1. Technology</t>
        </is>
      </c>
      <c r="B9" s="3" t="inlineStr">
        <is>
          <t>GlobalFoundries Inc. (NASDAQ: GFS) - 5yr FCFF DCF + comparables + reverse DCF</t>
        </is>
      </c>
    </row>
    <row r="10">
      <c r="A10" s="2" t="inlineStr">
        <is>
          <t xml:space="preserve">  2. Energy</t>
        </is>
      </c>
      <c r="B10" s="3" t="inlineStr">
        <is>
          <t>OMV AG (VIE: OMV) - 5yr FCFF DCF + dividend cover + normalised P/E comps</t>
        </is>
      </c>
    </row>
    <row r="11">
      <c r="A11" s="2" t="inlineStr">
        <is>
          <t xml:space="preserve">  3. Healthcare</t>
        </is>
      </c>
      <c r="B11" s="3" t="inlineStr">
        <is>
          <t>WHOOP Inc. - reverse DCF on the disclosed Series G price</t>
        </is>
      </c>
    </row>
    <row r="12">
      <c r="A12" s="2" t="inlineStr">
        <is>
          <t xml:space="preserve">  4. Financial Services</t>
        </is>
      </c>
      <c r="B12" s="3" t="inlineStr">
        <is>
          <t>Mubadala Capital - fee-franchise sum-of-the-parts vs listed alt managers</t>
        </is>
      </c>
    </row>
    <row r="13">
      <c r="A13" s="2" t="inlineStr"/>
      <c r="B13" s="3" t="inlineStr"/>
    </row>
    <row r="14">
      <c r="A14" s="4" t="inlineStr">
        <is>
          <t>HOW TO USE THIS WORKBOOK</t>
        </is>
      </c>
      <c r="B14" s="3" t="inlineStr"/>
    </row>
    <row r="15">
      <c r="A15" s="2" t="inlineStr">
        <is>
          <t xml:space="preserve">  Blue figures</t>
        </is>
      </c>
      <c r="B15" s="3" t="inlineStr">
        <is>
          <t>Inputs. Change them and every downstream number recalculates.</t>
        </is>
      </c>
    </row>
    <row r="16">
      <c r="A16" s="2" t="inlineStr">
        <is>
          <t xml:space="preserve">  Black figures</t>
        </is>
      </c>
      <c r="B16" s="3" t="inlineStr">
        <is>
          <t>Formulas calculated on the same sheet.</t>
        </is>
      </c>
    </row>
    <row r="17">
      <c r="A17" s="2" t="inlineStr">
        <is>
          <t xml:space="preserve">  Green figures</t>
        </is>
      </c>
      <c r="B17" s="3" t="inlineStr">
        <is>
          <t>Links to another sheet.</t>
        </is>
      </c>
    </row>
    <row r="18">
      <c r="A18" s="2" t="inlineStr"/>
      <c r="B18" s="3" t="inlineStr"/>
    </row>
    <row r="19">
      <c r="A19" s="4" t="inlineStr">
        <is>
          <t>HEALTH WARNING</t>
        </is>
      </c>
      <c r="B19" s="3" t="inlineStr"/>
    </row>
    <row r="20">
      <c r="A20" s="2" t="inlineStr">
        <is>
          <t xml:space="preserve">  Forecasts</t>
        </is>
      </c>
      <c r="B20" s="3" t="inlineStr">
        <is>
          <t>All forward assumptions are the author's, not company guidance.</t>
        </is>
      </c>
    </row>
    <row r="21">
      <c r="A21" s="2" t="inlineStr">
        <is>
          <t xml:space="preserve">  Private companies</t>
        </is>
      </c>
      <c r="B21" s="3" t="inlineStr">
        <is>
          <t>WHOOP and Mubadala Capital outputs are frameworks built on labelled assumptions, not valuation opinions.</t>
        </is>
      </c>
    </row>
    <row r="22">
      <c r="A22" s="2" t="inlineStr">
        <is>
          <t xml:space="preserve">  Market data</t>
        </is>
      </c>
      <c r="B22" s="3" t="inlineStr">
        <is>
          <t>Sourced from StockAnalysis / S&amp;P Global Market Intelligence, frozen 3-4 August 2026.</t>
        </is>
      </c>
    </row>
  </sheetData>
  <mergeCells count="21">
    <mergeCell ref="B11:J11"/>
    <mergeCell ref="B14:J14"/>
    <mergeCell ref="B17:J17"/>
    <mergeCell ref="B8:J8"/>
    <mergeCell ref="B13:J13"/>
    <mergeCell ref="B19:J19"/>
    <mergeCell ref="B10:J10"/>
    <mergeCell ref="B9:J9"/>
    <mergeCell ref="B6:J6"/>
    <mergeCell ref="B15:J15"/>
    <mergeCell ref="A1:J1"/>
    <mergeCell ref="B5:J5"/>
    <mergeCell ref="B20:J20"/>
    <mergeCell ref="B4:J4"/>
    <mergeCell ref="B16:J16"/>
    <mergeCell ref="B7:J7"/>
    <mergeCell ref="B3:J3"/>
    <mergeCell ref="B22:J22"/>
    <mergeCell ref="B18:J18"/>
    <mergeCell ref="B12:J12"/>
    <mergeCell ref="B21:J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CASE 1  |  GLOBALFOUNDRIES INC. (NASDAQ: GFS)  -  FCFF DCF</t>
        </is>
      </c>
    </row>
    <row r="3">
      <c r="A3" s="4" t="inlineStr">
        <is>
          <t>MARKET DATA  (as at 3 Aug 2026)</t>
        </is>
      </c>
    </row>
    <row r="4">
      <c r="A4" s="2" t="inlineStr">
        <is>
          <t xml:space="preserve">  Share price (USD)</t>
        </is>
      </c>
      <c r="B4" s="5" t="n">
        <v>50.01</v>
      </c>
    </row>
    <row r="5">
      <c r="A5" s="2" t="inlineStr">
        <is>
          <t xml:space="preserve">  Shares outstanding (m)</t>
        </is>
      </c>
      <c r="B5" s="6" t="n">
        <v>548.7</v>
      </c>
    </row>
    <row r="6">
      <c r="A6" s="2" t="inlineStr">
        <is>
          <t xml:space="preserve">  Market capitalisation (USDm)</t>
        </is>
      </c>
      <c r="B6" s="7" t="n">
        <v>27440</v>
      </c>
    </row>
    <row r="7">
      <c r="A7" s="2" t="inlineStr">
        <is>
          <t xml:space="preserve">  Enterprise value - market (USDm)</t>
        </is>
      </c>
      <c r="B7" s="7" t="n">
        <v>25400</v>
      </c>
    </row>
    <row r="8">
      <c r="A8" s="2" t="inlineStr">
        <is>
          <t xml:space="preserve">  Gross debt (USDm)</t>
        </is>
      </c>
      <c r="B8" s="7" t="n">
        <v>1724</v>
      </c>
    </row>
    <row r="9">
      <c r="A9" s="2" t="inlineStr">
        <is>
          <t xml:space="preserve">  Revenue TTM (USDm)</t>
        </is>
      </c>
      <c r="B9" s="7" t="n">
        <v>6840</v>
      </c>
    </row>
    <row r="10">
      <c r="A10" s="2" t="inlineStr">
        <is>
          <t xml:space="preserve">  EBITDA TTM (USDm)</t>
        </is>
      </c>
      <c r="B10" s="7" t="n">
        <v>2100</v>
      </c>
    </row>
    <row r="11">
      <c r="A11" s="2" t="inlineStr">
        <is>
          <t xml:space="preserve">  EBIT TTM (USDm)</t>
        </is>
      </c>
      <c r="B11" s="7" t="n">
        <v>826</v>
      </c>
    </row>
    <row r="12">
      <c r="A12" s="2" t="inlineStr">
        <is>
          <t xml:space="preserve">  Equity beta (5y)</t>
        </is>
      </c>
      <c r="B12" s="5" t="n">
        <v>1.76</v>
      </c>
    </row>
    <row r="13">
      <c r="A13" s="2" t="inlineStr">
        <is>
          <t xml:space="preserve">  Net cash (mkt cap less EV) (USDm)</t>
        </is>
      </c>
      <c r="B13" s="8">
        <f>B6-B7</f>
        <v/>
      </c>
    </row>
    <row r="15">
      <c r="A15" s="4" t="inlineStr">
        <is>
          <t>COST OF CAPITAL</t>
        </is>
      </c>
    </row>
    <row r="16">
      <c r="A16" s="2" t="inlineStr">
        <is>
          <t xml:space="preserve">  Risk-free rate</t>
        </is>
      </c>
      <c r="B16" s="9" t="n">
        <v>0.0425</v>
      </c>
    </row>
    <row r="17">
      <c r="A17" s="2" t="inlineStr">
        <is>
          <t xml:space="preserve">  Equity risk premium</t>
        </is>
      </c>
      <c r="B17" s="9" t="n">
        <v>0.05</v>
      </c>
    </row>
    <row r="18">
      <c r="A18" s="2" t="inlineStr">
        <is>
          <t xml:space="preserve">  Beta used</t>
        </is>
      </c>
      <c r="B18" s="5" t="n">
        <v>1.76</v>
      </c>
    </row>
    <row r="19">
      <c r="A19" s="2" t="inlineStr">
        <is>
          <t xml:space="preserve">  Cost of equity</t>
        </is>
      </c>
      <c r="B19" s="10">
        <f>B16+B17*B18</f>
        <v/>
      </c>
    </row>
    <row r="20">
      <c r="A20" s="2" t="inlineStr">
        <is>
          <t xml:space="preserve">  Pre-tax cost of debt</t>
        </is>
      </c>
      <c r="B20" s="9" t="n">
        <v>0.055</v>
      </c>
    </row>
    <row r="21">
      <c r="A21" s="2" t="inlineStr">
        <is>
          <t xml:space="preserve">  Tax rate</t>
        </is>
      </c>
      <c r="B21" s="9" t="n">
        <v>0.15</v>
      </c>
    </row>
    <row r="22">
      <c r="A22" s="2" t="inlineStr">
        <is>
          <t xml:space="preserve">  After-tax cost of debt</t>
        </is>
      </c>
      <c r="B22" s="10">
        <f>B20*(1-B21)</f>
        <v/>
      </c>
    </row>
    <row r="23">
      <c r="A23" s="2" t="inlineStr">
        <is>
          <t xml:space="preserve">  Weight of equity</t>
        </is>
      </c>
      <c r="B23" s="11">
        <f>B6/(B6+B8)</f>
        <v/>
      </c>
    </row>
    <row r="24">
      <c r="A24" s="2" t="inlineStr">
        <is>
          <t xml:space="preserve">  Weight of debt</t>
        </is>
      </c>
      <c r="B24" s="11">
        <f>1-B23</f>
        <v/>
      </c>
    </row>
    <row r="25">
      <c r="A25" s="2" t="inlineStr">
        <is>
          <t xml:space="preserve">  WACC</t>
        </is>
      </c>
      <c r="B25" s="10">
        <f>B23*B19+B24*B22</f>
        <v/>
      </c>
    </row>
    <row r="26">
      <c r="A26" s="2" t="inlineStr">
        <is>
          <t xml:space="preserve">  Terminal growth rate</t>
        </is>
      </c>
      <c r="B26" s="9" t="n">
        <v>0.025</v>
      </c>
    </row>
    <row r="28">
      <c r="A28" s="4" t="inlineStr">
        <is>
          <t>FORECAST  (year 1 = FY2026E)</t>
        </is>
      </c>
    </row>
    <row r="29">
      <c r="A29" s="2" t="inlineStr">
        <is>
          <t xml:space="preserve">  USDm</t>
        </is>
      </c>
      <c r="B29" s="12" t="inlineStr">
        <is>
          <t>Y1</t>
        </is>
      </c>
      <c r="C29" s="12" t="inlineStr">
        <is>
          <t>Y2</t>
        </is>
      </c>
      <c r="D29" s="12" t="inlineStr">
        <is>
          <t>Y3</t>
        </is>
      </c>
      <c r="E29" s="12" t="inlineStr">
        <is>
          <t>Y4</t>
        </is>
      </c>
      <c r="F29" s="12" t="inlineStr">
        <is>
          <t>Y5</t>
        </is>
      </c>
    </row>
    <row r="30">
      <c r="A30" s="2" t="inlineStr">
        <is>
          <t xml:space="preserve">  Revenue growth</t>
        </is>
      </c>
      <c r="B30" s="13" t="n">
        <v>0.08</v>
      </c>
      <c r="C30" s="13" t="n">
        <v>0.1</v>
      </c>
      <c r="D30" s="13" t="n">
        <v>0.1</v>
      </c>
      <c r="E30" s="13" t="n">
        <v>0.07000000000000001</v>
      </c>
      <c r="F30" s="13" t="n">
        <v>0.05</v>
      </c>
    </row>
    <row r="31">
      <c r="A31" s="2" t="inlineStr">
        <is>
          <t xml:space="preserve">  Revenue</t>
        </is>
      </c>
      <c r="B31" s="8">
        <f>B9*(1+B30)</f>
        <v/>
      </c>
      <c r="C31" s="8">
        <f>B31*(1+C30)</f>
        <v/>
      </c>
      <c r="D31" s="8">
        <f>C31*(1+D30)</f>
        <v/>
      </c>
      <c r="E31" s="8">
        <f>D31*(1+E30)</f>
        <v/>
      </c>
      <c r="F31" s="8">
        <f>E31*(1+F30)</f>
        <v/>
      </c>
    </row>
    <row r="32">
      <c r="A32" s="2" t="inlineStr">
        <is>
          <t xml:space="preserve">  EBIT margin</t>
        </is>
      </c>
      <c r="B32" s="13" t="n">
        <v>0.13</v>
      </c>
      <c r="C32" s="13" t="n">
        <v>0.15</v>
      </c>
      <c r="D32" s="13" t="n">
        <v>0.17</v>
      </c>
      <c r="E32" s="13" t="n">
        <v>0.19</v>
      </c>
      <c r="F32" s="13" t="n">
        <v>0.2</v>
      </c>
    </row>
    <row r="33">
      <c r="A33" s="2" t="inlineStr">
        <is>
          <t xml:space="preserve">  EBIT</t>
        </is>
      </c>
      <c r="B33" s="8">
        <f>B31*B32</f>
        <v/>
      </c>
      <c r="C33" s="8">
        <f>C31*C32</f>
        <v/>
      </c>
      <c r="D33" s="8">
        <f>D31*D32</f>
        <v/>
      </c>
      <c r="E33" s="8">
        <f>E31*E32</f>
        <v/>
      </c>
      <c r="F33" s="8">
        <f>F31*F32</f>
        <v/>
      </c>
    </row>
    <row r="34">
      <c r="A34" s="2" t="inlineStr">
        <is>
          <t xml:space="preserve">  NOPAT  = EBIT x (1 - tax)</t>
        </is>
      </c>
      <c r="B34" s="8">
        <f>B33*(1-$B$21)</f>
        <v/>
      </c>
      <c r="C34" s="8">
        <f>C33*(1-$B$21)</f>
        <v/>
      </c>
      <c r="D34" s="8">
        <f>D33*(1-$B$21)</f>
        <v/>
      </c>
      <c r="E34" s="8">
        <f>E33*(1-$B$21)</f>
        <v/>
      </c>
      <c r="F34" s="8">
        <f>F33*(1-$B$21)</f>
        <v/>
      </c>
    </row>
    <row r="35">
      <c r="A35" s="2" t="inlineStr">
        <is>
          <t xml:space="preserve">  D&amp;A  (% of revenue)</t>
        </is>
      </c>
      <c r="B35" s="13" t="n">
        <v>0.17</v>
      </c>
      <c r="C35" s="13" t="n">
        <v>0.165</v>
      </c>
      <c r="D35" s="13" t="n">
        <v>0.16</v>
      </c>
      <c r="E35" s="13" t="n">
        <v>0.155</v>
      </c>
      <c r="F35" s="13" t="n">
        <v>0.15</v>
      </c>
    </row>
    <row r="36">
      <c r="A36" s="2" t="inlineStr">
        <is>
          <t xml:space="preserve">  Depreciation &amp; amortisation</t>
        </is>
      </c>
      <c r="B36" s="8">
        <f>B31*B35</f>
        <v/>
      </c>
      <c r="C36" s="8">
        <f>C31*C35</f>
        <v/>
      </c>
      <c r="D36" s="8">
        <f>D31*D35</f>
        <v/>
      </c>
      <c r="E36" s="8">
        <f>E31*E35</f>
        <v/>
      </c>
      <c r="F36" s="8">
        <f>F31*F35</f>
        <v/>
      </c>
    </row>
    <row r="37">
      <c r="A37" s="2" t="inlineStr">
        <is>
          <t xml:space="preserve">  Capex  (% of revenue)</t>
        </is>
      </c>
      <c r="B37" s="13" t="n">
        <v>0.13</v>
      </c>
      <c r="C37" s="13" t="n">
        <v>0.135</v>
      </c>
      <c r="D37" s="13" t="n">
        <v>0.135</v>
      </c>
      <c r="E37" s="13" t="n">
        <v>0.13</v>
      </c>
      <c r="F37" s="13" t="n">
        <v>0.125</v>
      </c>
    </row>
    <row r="38">
      <c r="A38" s="2" t="inlineStr">
        <is>
          <t xml:space="preserve">  Capital expenditure</t>
        </is>
      </c>
      <c r="B38" s="8">
        <f>-B31*B37</f>
        <v/>
      </c>
      <c r="C38" s="8">
        <f>-C31*C37</f>
        <v/>
      </c>
      <c r="D38" s="8">
        <f>-D31*D37</f>
        <v/>
      </c>
      <c r="E38" s="8">
        <f>-E31*E37</f>
        <v/>
      </c>
      <c r="F38" s="8">
        <f>-F31*F37</f>
        <v/>
      </c>
    </row>
    <row r="39">
      <c r="A39" s="2" t="inlineStr">
        <is>
          <t xml:space="preserve">  Change in net working capital</t>
        </is>
      </c>
      <c r="B39" s="8">
        <f>-(B31-B9)*$B$40</f>
        <v/>
      </c>
      <c r="C39" s="8">
        <f>-(C31-B31)*$B$40</f>
        <v/>
      </c>
      <c r="D39" s="8">
        <f>-(D31-C31)*$B$40</f>
        <v/>
      </c>
      <c r="E39" s="8">
        <f>-(E31-D31)*$B$40</f>
        <v/>
      </c>
      <c r="F39" s="8">
        <f>-(F31-E31)*$B$40</f>
        <v/>
      </c>
    </row>
    <row r="40">
      <c r="A40" s="2" t="inlineStr">
        <is>
          <t xml:space="preserve">  NWC investment per $1 of new revenue</t>
        </is>
      </c>
      <c r="B40" s="13" t="n">
        <v>0.02</v>
      </c>
    </row>
    <row r="41">
      <c r="A41" s="4" t="inlineStr">
        <is>
          <t xml:space="preserve">  FREE CASH FLOW TO FIRM</t>
        </is>
      </c>
      <c r="B41" s="14">
        <f>B34+B36+B38+B39</f>
        <v/>
      </c>
      <c r="C41" s="14">
        <f>C34+C36+C38+C39</f>
        <v/>
      </c>
      <c r="D41" s="14">
        <f>D34+D36+D38+D39</f>
        <v/>
      </c>
      <c r="E41" s="14">
        <f>E34+E36+E38+E39</f>
        <v/>
      </c>
      <c r="F41" s="14">
        <f>F34+F36+F38+F39</f>
        <v/>
      </c>
    </row>
    <row r="42">
      <c r="A42" s="2" t="inlineStr">
        <is>
          <t xml:space="preserve">  Discount factor (mid-year)</t>
        </is>
      </c>
      <c r="B42" s="15">
        <f>1/(1+$B$25)^(1-0.5)</f>
        <v/>
      </c>
      <c r="C42" s="15">
        <f>1/(1+$B$25)^(2-0.5)</f>
        <v/>
      </c>
      <c r="D42" s="15">
        <f>1/(1+$B$25)^(3-0.5)</f>
        <v/>
      </c>
      <c r="E42" s="15">
        <f>1/(1+$B$25)^(4-0.5)</f>
        <v/>
      </c>
      <c r="F42" s="15">
        <f>1/(1+$B$25)^(5-0.5)</f>
        <v/>
      </c>
    </row>
    <row r="43">
      <c r="A43" s="2" t="inlineStr">
        <is>
          <t xml:space="preserve">  PV of FCFF</t>
        </is>
      </c>
      <c r="B43" s="8">
        <f>B41*B42</f>
        <v/>
      </c>
      <c r="C43" s="8">
        <f>C41*C42</f>
        <v/>
      </c>
      <c r="D43" s="8">
        <f>D41*D42</f>
        <v/>
      </c>
      <c r="E43" s="8">
        <f>E41*E42</f>
        <v/>
      </c>
      <c r="F43" s="8">
        <f>F41*F42</f>
        <v/>
      </c>
    </row>
    <row r="45">
      <c r="A45" s="4" t="inlineStr">
        <is>
          <t>VALUATION BRIDGE</t>
        </is>
      </c>
    </row>
    <row r="46">
      <c r="A46" s="2" t="inlineStr">
        <is>
          <t xml:space="preserve">  Sum of PV of explicit FCFF</t>
        </is>
      </c>
      <c r="B46" s="8">
        <f>SUM(B43:F43)</f>
        <v/>
      </c>
    </row>
    <row r="47">
      <c r="A47" s="2" t="inlineStr">
        <is>
          <t xml:space="preserve">  Terminal value (Gordon growth)</t>
        </is>
      </c>
      <c r="B47" s="8">
        <f>F41*(1+B26)/(B25-B26)</f>
        <v/>
      </c>
    </row>
    <row r="48">
      <c r="A48" s="2" t="inlineStr">
        <is>
          <t xml:space="preserve">  PV of terminal value</t>
        </is>
      </c>
      <c r="B48" s="8">
        <f>B47/(1+B25)^4.5</f>
        <v/>
      </c>
    </row>
    <row r="49">
      <c r="A49" s="4" t="inlineStr">
        <is>
          <t xml:space="preserve">  ENTERPRISE VALUE</t>
        </is>
      </c>
      <c r="B49" s="16">
        <f>B46+B48</f>
        <v/>
      </c>
    </row>
    <row r="50">
      <c r="A50" s="2" t="inlineStr">
        <is>
          <t xml:space="preserve">  Terminal value as % of EV</t>
        </is>
      </c>
      <c r="B50" s="11">
        <f>B48/B49</f>
        <v/>
      </c>
    </row>
    <row r="51">
      <c r="A51" s="2" t="inlineStr">
        <is>
          <t xml:space="preserve">  Plus: net cash</t>
        </is>
      </c>
      <c r="B51" s="8">
        <f>B13</f>
        <v/>
      </c>
    </row>
    <row r="52">
      <c r="A52" s="4" t="inlineStr">
        <is>
          <t xml:space="preserve">  EQUITY VALUE</t>
        </is>
      </c>
      <c r="B52" s="16">
        <f>B49+B51</f>
        <v/>
      </c>
    </row>
    <row r="53">
      <c r="A53" s="2" t="inlineStr">
        <is>
          <t xml:space="preserve">  Shares outstanding (m)</t>
        </is>
      </c>
      <c r="B53" s="8">
        <f>B5</f>
        <v/>
      </c>
    </row>
    <row r="54">
      <c r="A54" s="4" t="inlineStr">
        <is>
          <t xml:space="preserve">  VALUE PER SHARE (USD)</t>
        </is>
      </c>
      <c r="B54" s="17">
        <f>B52/B53</f>
        <v/>
      </c>
    </row>
    <row r="55">
      <c r="A55" s="2" t="inlineStr">
        <is>
          <t xml:space="preserve">  Current share price (USD)</t>
        </is>
      </c>
      <c r="B55" s="18">
        <f>B4</f>
        <v/>
      </c>
    </row>
    <row r="56">
      <c r="A56" s="2" t="inlineStr">
        <is>
          <t xml:space="preserve">  Upside / (downside)</t>
        </is>
      </c>
      <c r="B56" s="11">
        <f>B54/B55-1</f>
        <v/>
      </c>
    </row>
    <row r="59">
      <c r="A59" s="4" t="inlineStr">
        <is>
          <t>CROSS-CHECK: TRADING COMPARABLES</t>
        </is>
      </c>
    </row>
    <row r="60">
      <c r="A60" s="2" t="inlineStr">
        <is>
          <t xml:space="preserve">  Applied EV/EBITDA - low</t>
        </is>
      </c>
      <c r="B60" s="19" t="n">
        <v>11</v>
      </c>
    </row>
    <row r="61">
      <c r="A61" s="2" t="inlineStr">
        <is>
          <t xml:space="preserve">  Applied EV/EBITDA - mid</t>
        </is>
      </c>
      <c r="B61" s="19" t="n">
        <v>14.5</v>
      </c>
    </row>
    <row r="62">
      <c r="A62" s="2" t="inlineStr">
        <is>
          <t xml:space="preserve">  Applied EV/EBITDA - high</t>
        </is>
      </c>
      <c r="B62" s="19" t="n">
        <v>17</v>
      </c>
    </row>
    <row r="63">
      <c r="A63" s="2" t="inlineStr">
        <is>
          <t xml:space="preserve">  Implied value/share - low</t>
        </is>
      </c>
      <c r="B63" s="18">
        <f>(B60*B10+B13)/B5</f>
        <v/>
      </c>
    </row>
    <row r="64">
      <c r="A64" s="2" t="inlineStr">
        <is>
          <t xml:space="preserve">  Implied value/share - mid</t>
        </is>
      </c>
      <c r="B64" s="18">
        <f>(B61*B10+B13)/B5</f>
        <v/>
      </c>
    </row>
    <row r="65">
      <c r="A65" s="2" t="inlineStr">
        <is>
          <t xml:space="preserve">  Implied value/share - high</t>
        </is>
      </c>
      <c r="B65" s="18">
        <f>(B62*B10+B13)/B5</f>
        <v/>
      </c>
    </row>
    <row r="66">
      <c r="A66" s="2" t="inlineStr">
        <is>
          <t xml:space="preserve">  Note</t>
        </is>
      </c>
      <c r="B66" s="20" t="inlineStr">
        <is>
          <t>Tower Semiconductor (90.8x) excluded as a momentum outlier</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9"/>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CASE 2  |  OMV AG (VIE: OMV)  -  FCFF DCF  (EUR millions)</t>
        </is>
      </c>
    </row>
    <row r="3">
      <c r="A3" s="4" t="inlineStr">
        <is>
          <t>MARKET DATA  (as at 30 Jun 2026)</t>
        </is>
      </c>
    </row>
    <row r="4">
      <c r="A4" s="2" t="inlineStr">
        <is>
          <t xml:space="preserve">  Share price (EUR)</t>
        </is>
      </c>
      <c r="B4" s="5" t="n">
        <v>54.6</v>
      </c>
    </row>
    <row r="5">
      <c r="A5" s="2" t="inlineStr">
        <is>
          <t xml:space="preserve">  Shares outstanding (m)</t>
        </is>
      </c>
      <c r="B5" s="6" t="n">
        <v>326</v>
      </c>
    </row>
    <row r="6">
      <c r="A6" s="2" t="inlineStr">
        <is>
          <t xml:space="preserve">  Market capitalisation (EURm)</t>
        </is>
      </c>
      <c r="B6" s="7" t="n">
        <v>17620</v>
      </c>
    </row>
    <row r="7">
      <c r="A7" s="2" t="inlineStr">
        <is>
          <t xml:space="preserve">  Enterprise value - market (EURm)</t>
        </is>
      </c>
      <c r="B7" s="7" t="n">
        <v>24160</v>
      </c>
    </row>
    <row r="8">
      <c r="A8" s="2" t="inlineStr">
        <is>
          <t xml:space="preserve">  Gross debt (EURm)</t>
        </is>
      </c>
      <c r="B8" s="7" t="n">
        <v>8010</v>
      </c>
    </row>
    <row r="9">
      <c r="A9" s="2" t="inlineStr">
        <is>
          <t xml:space="preserve">  Cash (EURm)</t>
        </is>
      </c>
      <c r="B9" s="7" t="n">
        <v>5220</v>
      </c>
    </row>
    <row r="10">
      <c r="A10" s="2" t="inlineStr">
        <is>
          <t xml:space="preserve">  Revenue TTM (EURm)</t>
        </is>
      </c>
      <c r="B10" s="7" t="n">
        <v>23378</v>
      </c>
    </row>
    <row r="11">
      <c r="A11" s="2" t="inlineStr">
        <is>
          <t xml:space="preserve">  EBITDA TTM (EURm)</t>
        </is>
      </c>
      <c r="B11" s="7" t="n">
        <v>5402</v>
      </c>
    </row>
    <row r="12">
      <c r="A12" s="2" t="inlineStr">
        <is>
          <t xml:space="preserve">  Dividend per share (EUR)</t>
        </is>
      </c>
      <c r="B12" s="5" t="n">
        <v>4.4</v>
      </c>
    </row>
    <row r="13">
      <c r="A13" s="2" t="inlineStr">
        <is>
          <t xml:space="preserve">  Raw 5-year beta (rejected)</t>
        </is>
      </c>
      <c r="B13" s="5" t="n">
        <v>0.21</v>
      </c>
    </row>
    <row r="14">
      <c r="A14" s="2" t="inlineStr">
        <is>
          <t xml:space="preserve">  Net debt (EURm)</t>
        </is>
      </c>
      <c r="B14" s="8">
        <f>B8-B9</f>
        <v/>
      </c>
    </row>
    <row r="15">
      <c r="A15" s="2" t="inlineStr">
        <is>
          <t xml:space="preserve">  Minority interests (implied by EV bridge)</t>
        </is>
      </c>
      <c r="B15" s="8">
        <f>B7-B6-B14</f>
        <v/>
      </c>
    </row>
    <row r="17">
      <c r="A17" s="4" t="inlineStr">
        <is>
          <t>COST OF CAPITAL</t>
        </is>
      </c>
    </row>
    <row r="18">
      <c r="A18" s="2" t="inlineStr">
        <is>
          <t xml:space="preserve">  Risk-free rate (10y Bund)</t>
        </is>
      </c>
      <c r="B18" s="9" t="n">
        <v>0.0275</v>
      </c>
    </row>
    <row r="19">
      <c r="A19" s="2" t="inlineStr">
        <is>
          <t xml:space="preserve">  Equity risk premium</t>
        </is>
      </c>
      <c r="B19" s="9" t="n">
        <v>0.055</v>
      </c>
    </row>
    <row r="20">
      <c r="A20" s="2" t="inlineStr">
        <is>
          <t xml:space="preserve">  Sector beta used (not raw beta)</t>
        </is>
      </c>
      <c r="B20" s="5" t="n">
        <v>0.9</v>
      </c>
    </row>
    <row r="21">
      <c r="A21" s="2" t="inlineStr">
        <is>
          <t xml:space="preserve">  Country / commodity premium</t>
        </is>
      </c>
      <c r="B21" s="9" t="n">
        <v>0.01</v>
      </c>
    </row>
    <row r="22">
      <c r="A22" s="2" t="inlineStr">
        <is>
          <t xml:space="preserve">  Cost of equity</t>
        </is>
      </c>
      <c r="B22" s="10">
        <f>B18+B19*B20+B21</f>
        <v/>
      </c>
    </row>
    <row r="23">
      <c r="A23" s="2" t="inlineStr">
        <is>
          <t xml:space="preserve">  Pre-tax cost of debt</t>
        </is>
      </c>
      <c r="B23" s="9" t="n">
        <v>0.045</v>
      </c>
    </row>
    <row r="24">
      <c r="A24" s="2" t="inlineStr">
        <is>
          <t xml:space="preserve">  Tax rate (normalised)</t>
        </is>
      </c>
      <c r="B24" s="9" t="n">
        <v>0.3</v>
      </c>
    </row>
    <row r="25">
      <c r="A25" s="2" t="inlineStr">
        <is>
          <t xml:space="preserve">  After-tax cost of debt</t>
        </is>
      </c>
      <c r="B25" s="10">
        <f>B23*(1-B24)</f>
        <v/>
      </c>
    </row>
    <row r="26">
      <c r="A26" s="2" t="inlineStr">
        <is>
          <t xml:space="preserve">  Weight of equity</t>
        </is>
      </c>
      <c r="B26" s="11">
        <f>B6/(B6+B8)</f>
        <v/>
      </c>
    </row>
    <row r="27">
      <c r="A27" s="2" t="inlineStr">
        <is>
          <t xml:space="preserve">  Weight of debt</t>
        </is>
      </c>
      <c r="B27" s="11">
        <f>1-B26</f>
        <v/>
      </c>
    </row>
    <row r="28">
      <c r="A28" s="2" t="inlineStr">
        <is>
          <t xml:space="preserve">  WACC</t>
        </is>
      </c>
      <c r="B28" s="10">
        <f>B26*B22+B27*B25</f>
        <v/>
      </c>
    </row>
    <row r="29">
      <c r="A29" s="2" t="inlineStr">
        <is>
          <t xml:space="preserve">  Terminal growth rate</t>
        </is>
      </c>
      <c r="B29" s="9" t="n">
        <v>0.01</v>
      </c>
    </row>
    <row r="31">
      <c r="A31" s="4" t="inlineStr">
        <is>
          <t>FORECAST</t>
        </is>
      </c>
    </row>
    <row r="32">
      <c r="A32" s="2" t="inlineStr">
        <is>
          <t xml:space="preserve">  EURm</t>
        </is>
      </c>
      <c r="B32" s="12" t="inlineStr">
        <is>
          <t>Y1</t>
        </is>
      </c>
      <c r="C32" s="12" t="inlineStr">
        <is>
          <t>Y2</t>
        </is>
      </c>
      <c r="D32" s="12" t="inlineStr">
        <is>
          <t>Y3</t>
        </is>
      </c>
      <c r="E32" s="12" t="inlineStr">
        <is>
          <t>Y4</t>
        </is>
      </c>
      <c r="F32" s="12" t="inlineStr">
        <is>
          <t>Y5</t>
        </is>
      </c>
    </row>
    <row r="33">
      <c r="A33" s="2" t="inlineStr">
        <is>
          <t xml:space="preserve">  Revenue growth</t>
        </is>
      </c>
      <c r="B33" s="13" t="n">
        <v>-0.03</v>
      </c>
      <c r="C33" s="13" t="n">
        <v>0.01</v>
      </c>
      <c r="D33" s="13" t="n">
        <v>0.02</v>
      </c>
      <c r="E33" s="13" t="n">
        <v>0.02</v>
      </c>
      <c r="F33" s="13" t="n">
        <v>0.02</v>
      </c>
    </row>
    <row r="34">
      <c r="A34" s="2" t="inlineStr">
        <is>
          <t xml:space="preserve">  Revenue</t>
        </is>
      </c>
      <c r="B34" s="8">
        <f>B10*(1+B33)</f>
        <v/>
      </c>
      <c r="C34" s="8">
        <f>B34*(1+C33)</f>
        <v/>
      </c>
      <c r="D34" s="8">
        <f>C34*(1+D33)</f>
        <v/>
      </c>
      <c r="E34" s="8">
        <f>D34*(1+E33)</f>
        <v/>
      </c>
      <c r="F34" s="8">
        <f>E34*(1+F33)</f>
        <v/>
      </c>
    </row>
    <row r="35">
      <c r="A35" s="2" t="inlineStr">
        <is>
          <t xml:space="preserve">  EBIT margin</t>
        </is>
      </c>
      <c r="B35" s="13" t="n">
        <v>0.14</v>
      </c>
      <c r="C35" s="13" t="n">
        <v>0.145</v>
      </c>
      <c r="D35" s="13" t="n">
        <v>0.15</v>
      </c>
      <c r="E35" s="13" t="n">
        <v>0.15</v>
      </c>
      <c r="F35" s="13" t="n">
        <v>0.15</v>
      </c>
    </row>
    <row r="36">
      <c r="A36" s="2" t="inlineStr">
        <is>
          <t xml:space="preserve">  EBIT</t>
        </is>
      </c>
      <c r="B36" s="8">
        <f>B34*B35</f>
        <v/>
      </c>
      <c r="C36" s="8">
        <f>C34*C35</f>
        <v/>
      </c>
      <c r="D36" s="8">
        <f>D34*D35</f>
        <v/>
      </c>
      <c r="E36" s="8">
        <f>E34*E35</f>
        <v/>
      </c>
      <c r="F36" s="8">
        <f>F34*F35</f>
        <v/>
      </c>
    </row>
    <row r="37">
      <c r="A37" s="2" t="inlineStr">
        <is>
          <t xml:space="preserve">  NOPAT</t>
        </is>
      </c>
      <c r="B37" s="8">
        <f>B36*(1-$B$24)</f>
        <v/>
      </c>
      <c r="C37" s="8">
        <f>C36*(1-$B$24)</f>
        <v/>
      </c>
      <c r="D37" s="8">
        <f>D36*(1-$B$24)</f>
        <v/>
      </c>
      <c r="E37" s="8">
        <f>E36*(1-$B$24)</f>
        <v/>
      </c>
      <c r="F37" s="8">
        <f>F36*(1-$B$24)</f>
        <v/>
      </c>
    </row>
    <row r="38">
      <c r="A38" s="2" t="inlineStr">
        <is>
          <t xml:space="preserve">  D&amp;A (% of revenue)</t>
        </is>
      </c>
      <c r="B38" s="13" t="n">
        <v>0.08</v>
      </c>
      <c r="C38" s="13" t="n">
        <v>0.079</v>
      </c>
      <c r="D38" s="13" t="n">
        <v>0.078</v>
      </c>
      <c r="E38" s="13" t="n">
        <v>0.077</v>
      </c>
      <c r="F38" s="13" t="n">
        <v>0.076</v>
      </c>
    </row>
    <row r="39">
      <c r="A39" s="2" t="inlineStr">
        <is>
          <t xml:space="preserve">  Depreciation &amp; amortisation</t>
        </is>
      </c>
      <c r="B39" s="8">
        <f>B34*B38</f>
        <v/>
      </c>
      <c r="C39" s="8">
        <f>C34*C38</f>
        <v/>
      </c>
      <c r="D39" s="8">
        <f>D34*D38</f>
        <v/>
      </c>
      <c r="E39" s="8">
        <f>E34*E38</f>
        <v/>
      </c>
      <c r="F39" s="8">
        <f>F34*F38</f>
        <v/>
      </c>
    </row>
    <row r="40">
      <c r="A40" s="2" t="inlineStr">
        <is>
          <t xml:space="preserve">  Capex (% of revenue)</t>
        </is>
      </c>
      <c r="B40" s="13" t="n">
        <v>0.15</v>
      </c>
      <c r="C40" s="13" t="n">
        <v>0.135</v>
      </c>
      <c r="D40" s="13" t="n">
        <v>0.125</v>
      </c>
      <c r="E40" s="13" t="n">
        <v>0.118</v>
      </c>
      <c r="F40" s="13" t="n">
        <v>0.115</v>
      </c>
    </row>
    <row r="41">
      <c r="A41" s="2" t="inlineStr">
        <is>
          <t xml:space="preserve">  Capital expenditure</t>
        </is>
      </c>
      <c r="B41" s="8">
        <f>-B34*B40</f>
        <v/>
      </c>
      <c r="C41" s="8">
        <f>-C34*C40</f>
        <v/>
      </c>
      <c r="D41" s="8">
        <f>-D34*D40</f>
        <v/>
      </c>
      <c r="E41" s="8">
        <f>-E34*E40</f>
        <v/>
      </c>
      <c r="F41" s="8">
        <f>-F34*F40</f>
        <v/>
      </c>
    </row>
    <row r="42">
      <c r="A42" s="2" t="inlineStr">
        <is>
          <t xml:space="preserve">  Change in net working capital</t>
        </is>
      </c>
      <c r="B42" s="8">
        <f>-(B34-B10)*$B$43</f>
        <v/>
      </c>
      <c r="C42" s="8">
        <f>-(C34-B34)*$B$43</f>
        <v/>
      </c>
      <c r="D42" s="8">
        <f>-(D34-C34)*$B$43</f>
        <v/>
      </c>
      <c r="E42" s="8">
        <f>-(E34-D34)*$B$43</f>
        <v/>
      </c>
      <c r="F42" s="8">
        <f>-(F34-E34)*$B$43</f>
        <v/>
      </c>
    </row>
    <row r="43">
      <c r="A43" s="2" t="inlineStr">
        <is>
          <t xml:space="preserve">  NWC investment per EUR1 of new revenue</t>
        </is>
      </c>
      <c r="B43" s="13" t="n">
        <v>0.03</v>
      </c>
    </row>
    <row r="44">
      <c r="A44" s="4" t="inlineStr">
        <is>
          <t xml:space="preserve">  FREE CASH FLOW TO FIRM</t>
        </is>
      </c>
      <c r="B44" s="14">
        <f>B37+B39+B41+B42</f>
        <v/>
      </c>
      <c r="C44" s="14">
        <f>C37+C39+C41+C42</f>
        <v/>
      </c>
      <c r="D44" s="14">
        <f>D37+D39+D41+D42</f>
        <v/>
      </c>
      <c r="E44" s="14">
        <f>E37+E39+E41+E42</f>
        <v/>
      </c>
      <c r="F44" s="14">
        <f>F37+F39+F41+F42</f>
        <v/>
      </c>
    </row>
    <row r="45">
      <c r="A45" s="2" t="inlineStr">
        <is>
          <t xml:space="preserve">  Discount factor (mid-year)</t>
        </is>
      </c>
      <c r="B45" s="15">
        <f>1/(1+$B$28)^(1-0.5)</f>
        <v/>
      </c>
      <c r="C45" s="15">
        <f>1/(1+$B$28)^(2-0.5)</f>
        <v/>
      </c>
      <c r="D45" s="15">
        <f>1/(1+$B$28)^(3-0.5)</f>
        <v/>
      </c>
      <c r="E45" s="15">
        <f>1/(1+$B$28)^(4-0.5)</f>
        <v/>
      </c>
      <c r="F45" s="15">
        <f>1/(1+$B$28)^(5-0.5)</f>
        <v/>
      </c>
    </row>
    <row r="46">
      <c r="A46" s="2" t="inlineStr">
        <is>
          <t xml:space="preserve">  PV of FCFF</t>
        </is>
      </c>
      <c r="B46" s="8">
        <f>B44*B45</f>
        <v/>
      </c>
      <c r="C46" s="8">
        <f>C44*C45</f>
        <v/>
      </c>
      <c r="D46" s="8">
        <f>D44*D45</f>
        <v/>
      </c>
      <c r="E46" s="8">
        <f>E44*E45</f>
        <v/>
      </c>
      <c r="F46" s="8">
        <f>F44*F45</f>
        <v/>
      </c>
    </row>
    <row r="48">
      <c r="A48" s="4" t="inlineStr">
        <is>
          <t>VALUATION BRIDGE</t>
        </is>
      </c>
    </row>
    <row r="49">
      <c r="A49" s="2" t="inlineStr">
        <is>
          <t xml:space="preserve">  Sum of PV of explicit FCFF</t>
        </is>
      </c>
      <c r="B49" s="8">
        <f>SUM(B46:F46)</f>
        <v/>
      </c>
    </row>
    <row r="50">
      <c r="A50" s="2" t="inlineStr">
        <is>
          <t xml:space="preserve">  Terminal value</t>
        </is>
      </c>
      <c r="B50" s="8">
        <f>F44*(1+B29)/(B28-B29)</f>
        <v/>
      </c>
    </row>
    <row r="51">
      <c r="A51" s="2" t="inlineStr">
        <is>
          <t xml:space="preserve">  PV of terminal value</t>
        </is>
      </c>
      <c r="B51" s="8">
        <f>B50/(1+B28)^4.5</f>
        <v/>
      </c>
    </row>
    <row r="52">
      <c r="A52" s="4" t="inlineStr">
        <is>
          <t xml:space="preserve">  ENTERPRISE VALUE</t>
        </is>
      </c>
      <c r="B52" s="16">
        <f>B49+B51</f>
        <v/>
      </c>
    </row>
    <row r="53">
      <c r="A53" s="2" t="inlineStr">
        <is>
          <t xml:space="preserve">  Less: net debt</t>
        </is>
      </c>
      <c r="B53" s="8">
        <f>-B14</f>
        <v/>
      </c>
    </row>
    <row r="54">
      <c r="A54" s="2" t="inlineStr">
        <is>
          <t xml:space="preserve">  Less: minority interests</t>
        </is>
      </c>
      <c r="B54" s="8">
        <f>-B15</f>
        <v/>
      </c>
    </row>
    <row r="55">
      <c r="A55" s="4" t="inlineStr">
        <is>
          <t xml:space="preserve">  EQUITY VALUE</t>
        </is>
      </c>
      <c r="B55" s="16">
        <f>B52+B53+B54</f>
        <v/>
      </c>
    </row>
    <row r="56">
      <c r="A56" s="4" t="inlineStr">
        <is>
          <t xml:space="preserve">  VALUE PER SHARE (EUR)</t>
        </is>
      </c>
      <c r="B56" s="17">
        <f>B55/B5</f>
        <v/>
      </c>
    </row>
    <row r="57">
      <c r="A57" s="2" t="inlineStr">
        <is>
          <t xml:space="preserve">  Current share price (EUR)</t>
        </is>
      </c>
      <c r="B57" s="18">
        <f>B4</f>
        <v/>
      </c>
    </row>
    <row r="58">
      <c r="A58" s="2" t="inlineStr">
        <is>
          <t xml:space="preserve">  Upside / (downside)</t>
        </is>
      </c>
      <c r="B58" s="11">
        <f>B56/B57-1</f>
        <v/>
      </c>
    </row>
    <row r="59">
      <c r="A59" s="2" t="inlineStr">
        <is>
          <t xml:space="preserve">  Dividend yield at current price</t>
        </is>
      </c>
      <c r="B59" s="11">
        <f>B12/B4</f>
        <v/>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CASE 2  |  OMV  -  IS THE 8.1% DIVIDEND SAFE?</t>
        </is>
      </c>
    </row>
    <row r="3">
      <c r="A3" s="21" t="inlineStr">
        <is>
          <t>Year</t>
        </is>
      </c>
      <c r="B3" s="21" t="inlineStr">
        <is>
          <t>Free cash flow (EURm)</t>
        </is>
      </c>
      <c r="C3" s="21" t="inlineStr">
        <is>
          <t>DPS (EUR)</t>
        </is>
      </c>
      <c r="D3" s="21" t="inlineStr">
        <is>
          <t>Shares (m)</t>
        </is>
      </c>
      <c r="E3" s="21" t="inlineStr">
        <is>
          <t>Dividend cost (EURm)</t>
        </is>
      </c>
      <c r="F3" s="21" t="inlineStr">
        <is>
          <t>FCF cover (x)</t>
        </is>
      </c>
      <c r="G3" s="21" t="inlineStr">
        <is>
          <t>Verdict</t>
        </is>
      </c>
    </row>
    <row r="4">
      <c r="A4" s="22" t="n">
        <v>2021</v>
      </c>
      <c r="B4" s="7" t="n">
        <v>4520</v>
      </c>
      <c r="C4" s="5" t="n">
        <v>2.3</v>
      </c>
      <c r="D4" s="7" t="n">
        <v>326</v>
      </c>
      <c r="E4" s="8">
        <f>C4*D4</f>
        <v/>
      </c>
      <c r="F4" s="18">
        <f>B4/E4</f>
        <v/>
      </c>
      <c r="G4" s="2">
        <f>IF(F4&lt;1,"NOT COVERED",IF(F4&lt;1.5,"THIN","COMFORTABLE"))</f>
        <v/>
      </c>
    </row>
    <row r="5">
      <c r="A5" s="22" t="n">
        <v>2022</v>
      </c>
      <c r="B5" s="7" t="n">
        <v>4815</v>
      </c>
      <c r="C5" s="5" t="n">
        <v>2.8</v>
      </c>
      <c r="D5" s="7" t="n">
        <v>326</v>
      </c>
      <c r="E5" s="8">
        <f>C5*D5</f>
        <v/>
      </c>
      <c r="F5" s="18">
        <f>B5/E5</f>
        <v/>
      </c>
      <c r="G5" s="2">
        <f>IF(F5&lt;1,"NOT COVERED",IF(F5&lt;1.5,"THIN","COMFORTABLE"))</f>
        <v/>
      </c>
    </row>
    <row r="6">
      <c r="A6" s="22" t="n">
        <v>2023</v>
      </c>
      <c r="B6" s="7" t="n">
        <v>2222</v>
      </c>
      <c r="C6" s="5" t="n">
        <v>2.95</v>
      </c>
      <c r="D6" s="7" t="n">
        <v>326</v>
      </c>
      <c r="E6" s="8">
        <f>C6*D6</f>
        <v/>
      </c>
      <c r="F6" s="18">
        <f>B6/E6</f>
        <v/>
      </c>
      <c r="G6" s="2">
        <f>IF(F6&lt;1,"NOT COVERED",IF(F6&lt;1.5,"THIN","COMFORTABLE"))</f>
        <v/>
      </c>
    </row>
    <row r="7">
      <c r="A7" s="22" t="n">
        <v>2024</v>
      </c>
      <c r="B7" s="7" t="n">
        <v>1943</v>
      </c>
      <c r="C7" s="5" t="n">
        <v>3.05</v>
      </c>
      <c r="D7" s="7" t="n">
        <v>326</v>
      </c>
      <c r="E7" s="8">
        <f>C7*D7</f>
        <v/>
      </c>
      <c r="F7" s="18">
        <f>B7/E7</f>
        <v/>
      </c>
      <c r="G7" s="2">
        <f>IF(F7&lt;1,"NOT COVERED",IF(F7&lt;1.5,"THIN","COMFORTABLE"))</f>
        <v/>
      </c>
    </row>
    <row r="8">
      <c r="A8" s="22" t="n">
        <v>2025</v>
      </c>
      <c r="B8" s="7" t="n">
        <v>1366</v>
      </c>
      <c r="C8" s="5" t="n">
        <v>3.15</v>
      </c>
      <c r="D8" s="7" t="n">
        <v>326</v>
      </c>
      <c r="E8" s="8">
        <f>C8*D8</f>
        <v/>
      </c>
      <c r="F8" s="18">
        <f>B8/E8</f>
        <v/>
      </c>
      <c r="G8" s="2">
        <f>IF(F8&lt;1,"NOT COVERED",IF(F8&lt;1.5,"THIN","COMFORTABLE"))</f>
        <v/>
      </c>
    </row>
    <row r="10">
      <c r="A10" s="23" t="inlineStr">
        <is>
          <t>Finding</t>
        </is>
      </c>
      <c r="B10" s="24" t="inlineStr">
        <is>
          <t>Free-cash-flow cover of the ordinary dividend has fallen from 6.0x in 2021 to 1.3x in 2025, while the dividend per share has been increased every single year. The payout is still covered, but the margin of safety is largely gone. One further leg down in refining or chemicals margins and the distribution has to be funded from the balance sheet.</t>
        </is>
      </c>
    </row>
    <row r="11"/>
    <row r="12"/>
  </sheetData>
  <mergeCells count="2">
    <mergeCell ref="B10:G12"/>
    <mergeCell ref="A1:J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J44"/>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CASE 3  |  WHOOP INC.  -  WHAT DOES THE SERIES G PRICE ASSUME?</t>
        </is>
      </c>
    </row>
    <row r="3">
      <c r="A3" s="4" t="inlineStr">
        <is>
          <t>DISCLOSED FACTS  (Mubadala press release, 31 Mar 2026)</t>
        </is>
      </c>
    </row>
    <row r="4">
      <c r="A4" s="2" t="inlineStr">
        <is>
          <t xml:space="preserve">  Post-money valuation (USDm)</t>
        </is>
      </c>
      <c r="B4" s="7" t="n">
        <v>10100</v>
      </c>
    </row>
    <row r="5">
      <c r="A5" s="2" t="inlineStr">
        <is>
          <t xml:space="preserve">  Round size (USDm)</t>
        </is>
      </c>
      <c r="B5" s="7" t="n">
        <v>575</v>
      </c>
    </row>
    <row r="6">
      <c r="A6" s="2" t="inlineStr">
        <is>
          <t xml:space="preserve">  Exit-2025 bookings run-rate (USDm)</t>
        </is>
      </c>
      <c r="B6" s="7" t="n">
        <v>1100</v>
      </c>
    </row>
    <row r="7">
      <c r="A7" s="2" t="inlineStr">
        <is>
          <t xml:space="preserve">  Members (m)</t>
        </is>
      </c>
      <c r="B7" s="25" t="n">
        <v>2.5</v>
      </c>
    </row>
    <row r="8">
      <c r="A8" s="2" t="inlineStr">
        <is>
          <t xml:space="preserve">  2025 bookings growth</t>
        </is>
      </c>
      <c r="B8" s="13" t="n">
        <v>1.03</v>
      </c>
    </row>
    <row r="9">
      <c r="A9" s="2" t="inlineStr">
        <is>
          <t xml:space="preserve">  Pre-money valuation (USDm)</t>
        </is>
      </c>
      <c r="B9" s="8">
        <f>B4-B5</f>
        <v/>
      </c>
    </row>
    <row r="10">
      <c r="A10" s="2" t="inlineStr">
        <is>
          <t xml:space="preserve">  Implied EV / revenue - post-money</t>
        </is>
      </c>
      <c r="B10" s="26">
        <f>B4/B6</f>
        <v/>
      </c>
    </row>
    <row r="11">
      <c r="A11" s="2" t="inlineStr">
        <is>
          <t xml:space="preserve">  Implied EV / revenue - pre-money</t>
        </is>
      </c>
      <c r="B11" s="26">
        <f>B9/B6</f>
        <v/>
      </c>
    </row>
    <row r="12">
      <c r="A12" s="2" t="inlineStr">
        <is>
          <t xml:space="preserve">  Revenue per member (USD)</t>
        </is>
      </c>
      <c r="B12" s="8">
        <f>B6/B7</f>
        <v/>
      </c>
    </row>
    <row r="14">
      <c r="A14" s="4" t="inlineStr">
        <is>
          <t>ASSUMPTIONS  (the author's, not the company's)</t>
        </is>
      </c>
    </row>
    <row r="15">
      <c r="A15" s="2" t="inlineStr">
        <is>
          <t xml:space="preserve">  Required return (late-stage private)</t>
        </is>
      </c>
      <c r="B15" s="13" t="n">
        <v>0.18</v>
      </c>
    </row>
    <row r="16">
      <c r="A16" s="2" t="inlineStr">
        <is>
          <t xml:space="preserve">  Terminal growth</t>
        </is>
      </c>
      <c r="B16" s="13" t="n">
        <v>0.035</v>
      </c>
    </row>
    <row r="17">
      <c r="A17" s="2" t="inlineStr">
        <is>
          <t xml:space="preserve">  Horizon (years)</t>
        </is>
      </c>
      <c r="B17" s="22" t="n">
        <v>10</v>
      </c>
    </row>
    <row r="18">
      <c r="A18" s="2" t="inlineStr">
        <is>
          <t xml:space="preserve">  Starting FCF margin</t>
        </is>
      </c>
      <c r="B18" s="13" t="n">
        <v>0.04</v>
      </c>
    </row>
    <row r="19">
      <c r="A19" s="2" t="inlineStr">
        <is>
          <t xml:space="preserve">  Terminal FCF margin</t>
        </is>
      </c>
      <c r="B19" s="13" t="n">
        <v>0.2</v>
      </c>
    </row>
    <row r="20">
      <c r="A20" s="2" t="inlineStr">
        <is>
          <t xml:space="preserve">  Revenue CAGR implied by the price</t>
        </is>
      </c>
      <c r="B20" s="13" t="n">
        <v>0.348</v>
      </c>
    </row>
    <row r="22">
      <c r="A22" s="4" t="inlineStr">
        <is>
          <t>IMPLIED REVENUE PATH</t>
        </is>
      </c>
    </row>
    <row r="23">
      <c r="A23" s="27" t="inlineStr">
        <is>
          <t xml:space="preserve">  Year</t>
        </is>
      </c>
      <c r="B23" s="28" t="inlineStr">
        <is>
          <t>Revenue (USDm)</t>
        </is>
      </c>
      <c r="C23" s="28" t="inlineStr">
        <is>
          <t>FCF margin</t>
        </is>
      </c>
      <c r="D23" s="28" t="inlineStr">
        <is>
          <t>FCF (USDm)</t>
        </is>
      </c>
      <c r="E23" s="28" t="inlineStr">
        <is>
          <t>Discount factor</t>
        </is>
      </c>
      <c r="F23" s="28" t="inlineStr">
        <is>
          <t>PV (USDm)</t>
        </is>
      </c>
    </row>
    <row r="24">
      <c r="A24" s="29" t="n">
        <v>1</v>
      </c>
      <c r="B24" s="8">
        <f>B6*(1+$B$20)</f>
        <v/>
      </c>
      <c r="C24" s="11">
        <f>$B$18+($B$19-$B$18)*(A24/$B$17)</f>
        <v/>
      </c>
      <c r="D24" s="8">
        <f>B24*C24</f>
        <v/>
      </c>
      <c r="E24" s="15">
        <f>1/(1+$B$15)^A24</f>
        <v/>
      </c>
      <c r="F24" s="8">
        <f>D24*E24</f>
        <v/>
      </c>
    </row>
    <row r="25">
      <c r="A25" s="29" t="n">
        <v>2</v>
      </c>
      <c r="B25" s="8">
        <f>B24*(1+$B$20)</f>
        <v/>
      </c>
      <c r="C25" s="11">
        <f>$B$18+($B$19-$B$18)*(A25/$B$17)</f>
        <v/>
      </c>
      <c r="D25" s="8">
        <f>B25*C25</f>
        <v/>
      </c>
      <c r="E25" s="15">
        <f>1/(1+$B$15)^A25</f>
        <v/>
      </c>
      <c r="F25" s="8">
        <f>D25*E25</f>
        <v/>
      </c>
    </row>
    <row r="26">
      <c r="A26" s="29" t="n">
        <v>3</v>
      </c>
      <c r="B26" s="8">
        <f>B25*(1+$B$20)</f>
        <v/>
      </c>
      <c r="C26" s="11">
        <f>$B$18+($B$19-$B$18)*(A26/$B$17)</f>
        <v/>
      </c>
      <c r="D26" s="8">
        <f>B26*C26</f>
        <v/>
      </c>
      <c r="E26" s="15">
        <f>1/(1+$B$15)^A26</f>
        <v/>
      </c>
      <c r="F26" s="8">
        <f>D26*E26</f>
        <v/>
      </c>
    </row>
    <row r="27">
      <c r="A27" s="29" t="n">
        <v>4</v>
      </c>
      <c r="B27" s="8">
        <f>B26*(1+$B$20)</f>
        <v/>
      </c>
      <c r="C27" s="11">
        <f>$B$18+($B$19-$B$18)*(A27/$B$17)</f>
        <v/>
      </c>
      <c r="D27" s="8">
        <f>B27*C27</f>
        <v/>
      </c>
      <c r="E27" s="15">
        <f>1/(1+$B$15)^A27</f>
        <v/>
      </c>
      <c r="F27" s="8">
        <f>D27*E27</f>
        <v/>
      </c>
    </row>
    <row r="28">
      <c r="A28" s="29" t="n">
        <v>5</v>
      </c>
      <c r="B28" s="8">
        <f>B27*(1+$B$20)</f>
        <v/>
      </c>
      <c r="C28" s="11">
        <f>$B$18+($B$19-$B$18)*(A28/$B$17)</f>
        <v/>
      </c>
      <c r="D28" s="8">
        <f>B28*C28</f>
        <v/>
      </c>
      <c r="E28" s="15">
        <f>1/(1+$B$15)^A28</f>
        <v/>
      </c>
      <c r="F28" s="8">
        <f>D28*E28</f>
        <v/>
      </c>
    </row>
    <row r="29">
      <c r="A29" s="29" t="n">
        <v>6</v>
      </c>
      <c r="B29" s="8">
        <f>B28*(1+$B$20)</f>
        <v/>
      </c>
      <c r="C29" s="11">
        <f>$B$18+($B$19-$B$18)*(A29/$B$17)</f>
        <v/>
      </c>
      <c r="D29" s="8">
        <f>B29*C29</f>
        <v/>
      </c>
      <c r="E29" s="15">
        <f>1/(1+$B$15)^A29</f>
        <v/>
      </c>
      <c r="F29" s="8">
        <f>D29*E29</f>
        <v/>
      </c>
    </row>
    <row r="30">
      <c r="A30" s="29" t="n">
        <v>7</v>
      </c>
      <c r="B30" s="8">
        <f>B29*(1+$B$20)</f>
        <v/>
      </c>
      <c r="C30" s="11">
        <f>$B$18+($B$19-$B$18)*(A30/$B$17)</f>
        <v/>
      </c>
      <c r="D30" s="8">
        <f>B30*C30</f>
        <v/>
      </c>
      <c r="E30" s="15">
        <f>1/(1+$B$15)^A30</f>
        <v/>
      </c>
      <c r="F30" s="8">
        <f>D30*E30</f>
        <v/>
      </c>
    </row>
    <row r="31">
      <c r="A31" s="29" t="n">
        <v>8</v>
      </c>
      <c r="B31" s="8">
        <f>B30*(1+$B$20)</f>
        <v/>
      </c>
      <c r="C31" s="11">
        <f>$B$18+($B$19-$B$18)*(A31/$B$17)</f>
        <v/>
      </c>
      <c r="D31" s="8">
        <f>B31*C31</f>
        <v/>
      </c>
      <c r="E31" s="15">
        <f>1/(1+$B$15)^A31</f>
        <v/>
      </c>
      <c r="F31" s="8">
        <f>D31*E31</f>
        <v/>
      </c>
    </row>
    <row r="32">
      <c r="A32" s="29" t="n">
        <v>9</v>
      </c>
      <c r="B32" s="8">
        <f>B31*(1+$B$20)</f>
        <v/>
      </c>
      <c r="C32" s="11">
        <f>$B$18+($B$19-$B$18)*(A32/$B$17)</f>
        <v/>
      </c>
      <c r="D32" s="8">
        <f>B32*C32</f>
        <v/>
      </c>
      <c r="E32" s="15">
        <f>1/(1+$B$15)^A32</f>
        <v/>
      </c>
      <c r="F32" s="8">
        <f>D32*E32</f>
        <v/>
      </c>
    </row>
    <row r="33">
      <c r="A33" s="29" t="n">
        <v>10</v>
      </c>
      <c r="B33" s="8">
        <f>B32*(1+$B$20)</f>
        <v/>
      </c>
      <c r="C33" s="11">
        <f>$B$18+($B$19-$B$18)*(A33/$B$17)</f>
        <v/>
      </c>
      <c r="D33" s="8">
        <f>B33*C33</f>
        <v/>
      </c>
      <c r="E33" s="15">
        <f>1/(1+$B$15)^A33</f>
        <v/>
      </c>
      <c r="F33" s="8">
        <f>D33*E33</f>
        <v/>
      </c>
    </row>
    <row r="35">
      <c r="A35" s="2" t="inlineStr">
        <is>
          <t xml:space="preserve">  Sum of PV of explicit FCF</t>
        </is>
      </c>
      <c r="B35" s="8">
        <f>SUM(F24:F33)</f>
        <v/>
      </c>
    </row>
    <row r="36">
      <c r="A36" s="2" t="inlineStr">
        <is>
          <t xml:space="preserve">  Terminal value</t>
        </is>
      </c>
      <c r="B36" s="8">
        <f>B33*$B$19*(1+$B$16)/($B$15-$B$16)</f>
        <v/>
      </c>
    </row>
    <row r="37">
      <c r="A37" s="2" t="inlineStr">
        <is>
          <t xml:space="preserve">  PV of terminal value</t>
        </is>
      </c>
      <c r="B37" s="8">
        <f>B36/(1+$B$15)^10</f>
        <v/>
      </c>
    </row>
    <row r="38">
      <c r="A38" s="4" t="inlineStr">
        <is>
          <t xml:space="preserve">  IMPLIED VALUE (USDm)</t>
        </is>
      </c>
      <c r="B38" s="16">
        <f>B35+B37</f>
        <v/>
      </c>
    </row>
    <row r="39">
      <c r="A39" s="2" t="inlineStr">
        <is>
          <t xml:space="preserve">  Price actually paid, pre-money (USDm)</t>
        </is>
      </c>
      <c r="B39" s="8">
        <f>B9</f>
        <v/>
      </c>
    </row>
    <row r="40">
      <c r="A40" s="2" t="inlineStr">
        <is>
          <t xml:space="preserve">  Difference</t>
        </is>
      </c>
      <c r="B40" s="11">
        <f>B38/B39-1</f>
        <v/>
      </c>
    </row>
    <row r="42">
      <c r="A42" s="23" t="inlineStr">
        <is>
          <t>Reading</t>
        </is>
      </c>
      <c r="B42" s="24" t="inlineStr">
        <is>
          <t>The Series G price only makes sense if revenue compounds at roughly 35% a year for a decade - taking WHOOP from a $1.1bn run-rate to about $22bn - while free-cash-flow margins climb to 20%. That is a demanding but not impossible path given 2025 bookings growth of 103%. The investment question is therefore about the DURABILITY of growth, not its direction.</t>
        </is>
      </c>
    </row>
    <row r="43"/>
    <row r="44"/>
  </sheetData>
  <mergeCells count="2">
    <mergeCell ref="A1:J1"/>
    <mergeCell ref="B42:H4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CASE 4  |  MUBADALA CAPITAL  -  WHAT IS THE FEE FRANCHISE WORTH?</t>
        </is>
      </c>
    </row>
    <row r="3">
      <c r="A3" s="4" t="inlineStr">
        <is>
          <t>THE ONLY HARD FACT</t>
        </is>
      </c>
    </row>
    <row r="4">
      <c r="A4" s="2" t="inlineStr">
        <is>
          <t xml:space="preserve">  Aggregate AUM (USDbn) - mubadala.com</t>
        </is>
      </c>
      <c r="B4" s="25" t="n">
        <v>30</v>
      </c>
    </row>
    <row r="6">
      <c r="A6" s="4" t="inlineStr">
        <is>
          <t>ASSUMPTIONS</t>
        </is>
      </c>
    </row>
    <row r="7">
      <c r="A7" s="2" t="inlineStr">
        <is>
          <t xml:space="preserve">  Third-party share of AUM</t>
        </is>
      </c>
      <c r="B7" s="13" t="n">
        <v>0.6</v>
      </c>
    </row>
    <row r="8">
      <c r="A8" s="2" t="inlineStr">
        <is>
          <t xml:space="preserve">  Blended management fee rate</t>
        </is>
      </c>
      <c r="B8" s="9" t="n">
        <v>0.012</v>
      </c>
    </row>
    <row r="9">
      <c r="A9" s="2" t="inlineStr">
        <is>
          <t xml:space="preserve">  Fee-related-earnings margin</t>
        </is>
      </c>
      <c r="B9" s="13" t="n">
        <v>0.35</v>
      </c>
    </row>
    <row r="10">
      <c r="A10" s="2" t="inlineStr">
        <is>
          <t xml:space="preserve">  Private-company discount</t>
        </is>
      </c>
      <c r="B10" s="13" t="n">
        <v>0.25</v>
      </c>
    </row>
    <row r="12">
      <c r="A12" s="4" t="inlineStr">
        <is>
          <t>DERIVED</t>
        </is>
      </c>
    </row>
    <row r="13">
      <c r="A13" s="2" t="inlineStr">
        <is>
          <t xml:space="preserve">  Third-party AUM (USDbn)</t>
        </is>
      </c>
      <c r="B13" s="30">
        <f>B4*B7</f>
        <v/>
      </c>
    </row>
    <row r="14">
      <c r="A14" s="2" t="inlineStr">
        <is>
          <t xml:space="preserve">  Management fee revenue (USDm)</t>
        </is>
      </c>
      <c r="B14" s="8">
        <f>B13*1000*B8</f>
        <v/>
      </c>
    </row>
    <row r="15">
      <c r="A15" s="2" t="inlineStr">
        <is>
          <t xml:space="preserve">  Fee-related earnings (USDm)</t>
        </is>
      </c>
      <c r="B15" s="8">
        <f>B14*B9</f>
        <v/>
      </c>
    </row>
    <row r="17">
      <c r="A17" s="4" t="inlineStr">
        <is>
          <t>LISTED ALTERNATIVE-MANAGER COHORT</t>
        </is>
      </c>
    </row>
    <row r="18">
      <c r="A18" s="21" t="inlineStr">
        <is>
          <t>Manager</t>
        </is>
      </c>
      <c r="B18" s="21" t="inlineStr">
        <is>
          <t>Market cap (USDbn)</t>
        </is>
      </c>
      <c r="C18" s="21" t="inlineStr">
        <is>
          <t>Revenue (USDbn)</t>
        </is>
      </c>
      <c r="D18" s="21" t="inlineStr">
        <is>
          <t>Price / sales</t>
        </is>
      </c>
      <c r="E18" s="21" t="inlineStr">
        <is>
          <t>P/E</t>
        </is>
      </c>
    </row>
    <row r="19">
      <c r="A19" s="31" t="inlineStr">
        <is>
          <t>Blackstone (BX)</t>
        </is>
      </c>
      <c r="B19" s="6" t="n">
        <v>169.49</v>
      </c>
      <c r="C19" s="32" t="n">
        <v>15.48</v>
      </c>
      <c r="D19" s="18">
        <f>B19/C19</f>
        <v/>
      </c>
      <c r="E19" s="25" t="n">
        <v>30.51</v>
      </c>
    </row>
    <row r="20">
      <c r="A20" s="33" t="inlineStr">
        <is>
          <t>Apollo (APO) - excluded</t>
        </is>
      </c>
      <c r="B20" s="6" t="n">
        <v>75.06</v>
      </c>
      <c r="C20" s="32" t="n">
        <v>35.6</v>
      </c>
      <c r="D20" s="18">
        <f>B20/C20</f>
        <v/>
      </c>
      <c r="E20" s="25" t="n">
        <v>81.92</v>
      </c>
    </row>
    <row r="21">
      <c r="A21" s="31" t="inlineStr">
        <is>
          <t>Ares (ARES)</t>
        </is>
      </c>
      <c r="B21" s="6" t="n">
        <v>46.56</v>
      </c>
      <c r="C21" s="32" t="n">
        <v>5.99</v>
      </c>
      <c r="D21" s="18">
        <f>B21/C21</f>
        <v/>
      </c>
      <c r="E21" s="25" t="n">
        <v>62.43</v>
      </c>
    </row>
    <row r="22">
      <c r="A22" s="31" t="inlineStr">
        <is>
          <t>Blue Owl (OWL)</t>
        </is>
      </c>
      <c r="B22" s="6" t="n">
        <v>17.8</v>
      </c>
      <c r="C22" s="32" t="n">
        <v>2.99</v>
      </c>
      <c r="D22" s="18">
        <f>B22/C22</f>
        <v/>
      </c>
      <c r="E22" s="25" t="n">
        <v>95.88</v>
      </c>
    </row>
    <row r="23">
      <c r="A23" s="31" t="inlineStr">
        <is>
          <t>TPG (TPG)</t>
        </is>
      </c>
      <c r="B23" s="6" t="n">
        <v>18.74</v>
      </c>
      <c r="C23" s="32" t="n">
        <v>3.73</v>
      </c>
      <c r="D23" s="18">
        <f>B23/C23</f>
        <v/>
      </c>
      <c r="E23" s="25" t="n">
        <v>139.03</v>
      </c>
    </row>
    <row r="25">
      <c r="A25" s="2" t="inlineStr">
        <is>
          <t xml:space="preserve">  Median price/sales (excluding Apollo)</t>
        </is>
      </c>
      <c r="B25" s="18">
        <f>MEDIAN(D19,D21,D22,D23)</f>
        <v/>
      </c>
    </row>
    <row r="26">
      <c r="A26" s="2" t="inlineStr">
        <is>
          <t xml:space="preserve">  Median P/E</t>
        </is>
      </c>
      <c r="B26" s="30">
        <f>MEDIAN(E19:E23)</f>
        <v/>
      </c>
    </row>
    <row r="28">
      <c r="A28" s="4" t="inlineStr">
        <is>
          <t>VALUATION RANGE (USDbn)</t>
        </is>
      </c>
    </row>
    <row r="29">
      <c r="A29" s="2" t="inlineStr">
        <is>
          <t xml:space="preserve">  Low  - 5.0x fee revenue</t>
        </is>
      </c>
      <c r="B29" s="18">
        <f>B14*5/1000</f>
        <v/>
      </c>
    </row>
    <row r="30">
      <c r="A30" s="2" t="inlineStr">
        <is>
          <t xml:space="preserve">  Mid  - peer median price/sales</t>
        </is>
      </c>
      <c r="B30" s="18">
        <f>B14*B25/1000</f>
        <v/>
      </c>
    </row>
    <row r="31">
      <c r="A31" s="2" t="inlineStr">
        <is>
          <t xml:space="preserve">  High - 10.9x fee revenue (Blackstone)</t>
        </is>
      </c>
      <c r="B31" s="18">
        <f>B14*10.9/1000</f>
        <v/>
      </c>
    </row>
    <row r="32">
      <c r="A32" s="2" t="inlineStr">
        <is>
          <t xml:space="preserve">  Cross-check - 30.5x FRE (Blackstone P/E)</t>
        </is>
      </c>
      <c r="B32" s="18">
        <f>B15*30.51/1000</f>
        <v/>
      </c>
    </row>
    <row r="33">
      <c r="A33" s="4" t="inlineStr">
        <is>
          <t xml:space="preserve">  CENTRAL VALUE before discount</t>
        </is>
      </c>
      <c r="B33" s="18">
        <f>MEDIAN(B29:B32)</f>
        <v/>
      </c>
    </row>
    <row r="34">
      <c r="A34" s="4" t="inlineStr">
        <is>
          <t xml:space="preserve">  CENTRAL VALUE after private-company discount</t>
        </is>
      </c>
      <c r="B34" s="17">
        <f>B33*(1-B10)</f>
        <v/>
      </c>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6" customWidth="1" min="1" max="1"/>
    <col width="52" customWidth="1" min="2" max="2"/>
    <col width="70" customWidth="1" min="3" max="3"/>
    <col width="14" customWidth="1" min="4" max="4"/>
    <col width="18" customWidth="1" min="5" max="5"/>
    <col width="14" customWidth="1" min="6" max="6"/>
    <col width="14" customWidth="1" min="7" max="7"/>
    <col width="14" customWidth="1" min="8" max="8"/>
    <col width="14" customWidth="1" min="9" max="9"/>
    <col width="14" customWidth="1" min="10" max="10"/>
  </cols>
  <sheetData>
    <row r="1" ht="26" customHeight="1">
      <c r="A1" s="1" t="inlineStr">
        <is>
          <t>SOURCE REGISTER  -  EVERY NUMBER IN THIS WORKBOOK IS TRACEABLE</t>
        </is>
      </c>
    </row>
    <row r="3">
      <c r="A3" s="21" t="inlineStr">
        <is>
          <t>ID</t>
        </is>
      </c>
      <c r="B3" s="21" t="inlineStr">
        <is>
          <t>Source</t>
        </is>
      </c>
      <c r="C3" s="21" t="inlineStr">
        <is>
          <t>URL</t>
        </is>
      </c>
      <c r="D3" s="21" t="inlineStr">
        <is>
          <t>As-of date</t>
        </is>
      </c>
      <c r="E3" s="21" t="inlineStr">
        <is>
          <t>Class</t>
        </is>
      </c>
    </row>
    <row r="4">
      <c r="A4" s="34" t="inlineStr">
        <is>
          <t>S01</t>
        </is>
      </c>
      <c r="B4" s="34" t="inlineStr">
        <is>
          <t>Mubadala press release - 2025 annual results</t>
        </is>
      </c>
      <c r="C4" s="34" t="inlineStr">
        <is>
          <t>https://www.mubadala.com/en/news/strong-performance-by-uae-portfolio-drives-mubadalas-growth-in-2025</t>
        </is>
      </c>
      <c r="D4" s="34" t="inlineStr">
        <is>
          <t>2026-04-09</t>
        </is>
      </c>
      <c r="E4" s="34" t="inlineStr">
        <is>
          <t>Official</t>
        </is>
      </c>
    </row>
    <row r="5">
      <c r="A5" s="34" t="inlineStr">
        <is>
          <t>S02</t>
        </is>
      </c>
      <c r="B5" s="34" t="inlineStr">
        <is>
          <t>Mubadala 2025 Annual Review - Performance Overview</t>
        </is>
      </c>
      <c r="C5" s="34" t="inlineStr">
        <is>
          <t>https://annual2025.mubadala.com/en/performance-overview</t>
        </is>
      </c>
      <c r="D5" s="34" t="inlineStr">
        <is>
          <t>2026-04-09</t>
        </is>
      </c>
      <c r="E5" s="34" t="inlineStr">
        <is>
          <t>Official</t>
        </is>
      </c>
    </row>
    <row r="6">
      <c r="A6" s="34" t="inlineStr">
        <is>
          <t>S03</t>
        </is>
      </c>
      <c r="B6" s="34" t="inlineStr">
        <is>
          <t>Mubadala 2025 Annual Review - Key Investment Highlights</t>
        </is>
      </c>
      <c r="C6" s="34" t="inlineStr">
        <is>
          <t>https://annual2025.mubadala.com/en/key-investment-highlights</t>
        </is>
      </c>
      <c r="D6" s="34" t="inlineStr">
        <is>
          <t>2026-04-09</t>
        </is>
      </c>
      <c r="E6" s="34" t="inlineStr">
        <is>
          <t>Official</t>
        </is>
      </c>
    </row>
    <row r="7">
      <c r="A7" s="34" t="inlineStr">
        <is>
          <t>S04</t>
        </is>
      </c>
      <c r="B7" s="34" t="inlineStr">
        <is>
          <t>Mubadala corporate site - Our Structure (platforms)</t>
        </is>
      </c>
      <c r="C7" s="34" t="inlineStr">
        <is>
          <t>https://www.mubadala.com/en/who-we-are/our-structure</t>
        </is>
      </c>
      <c r="D7" s="34" t="inlineStr">
        <is>
          <t>2026-08-04</t>
        </is>
      </c>
      <c r="E7" s="34" t="inlineStr">
        <is>
          <t>Official</t>
        </is>
      </c>
    </row>
    <row r="8">
      <c r="A8" s="34" t="inlineStr">
        <is>
          <t>S05</t>
        </is>
      </c>
      <c r="B8" s="34" t="inlineStr">
        <is>
          <t>Mubadala press release - WHOOP Series G</t>
        </is>
      </c>
      <c r="C8" s="34" t="inlineStr">
        <is>
          <t>https://www.mubadala.com/en/news/whoop-raises-dollar-575-million-at-dollar-10-billion-valuation-to-advance-global-health-platform</t>
        </is>
      </c>
      <c r="D8" s="34" t="inlineStr">
        <is>
          <t>2026-03-31</t>
        </is>
      </c>
      <c r="E8" s="34" t="inlineStr">
        <is>
          <t>Official</t>
        </is>
      </c>
    </row>
    <row r="9">
      <c r="A9" s="34" t="inlineStr">
        <is>
          <t>S06</t>
        </is>
      </c>
      <c r="B9" s="34" t="inlineStr">
        <is>
          <t>Mubadala newsroom - 2026 transaction announcements</t>
        </is>
      </c>
      <c r="C9" s="34" t="inlineStr">
        <is>
          <t>https://www.mubadala.com/en/media</t>
        </is>
      </c>
      <c r="D9" s="34" t="inlineStr">
        <is>
          <t>2026-08-04</t>
        </is>
      </c>
      <c r="E9" s="34" t="inlineStr">
        <is>
          <t>Official</t>
        </is>
      </c>
    </row>
    <row r="10">
      <c r="A10" s="34" t="inlineStr">
        <is>
          <t>S07</t>
        </is>
      </c>
      <c r="B10" s="34" t="inlineStr">
        <is>
          <t>StockAnalysis / S&amp;P Global Market Intelligence - GlobalFoundries (GFS)</t>
        </is>
      </c>
      <c r="C10" s="34" t="inlineStr">
        <is>
          <t>https://stockanalysis.com/stocks/gfs/statistics/</t>
        </is>
      </c>
      <c r="D10" s="34" t="inlineStr">
        <is>
          <t>2026-08-03</t>
        </is>
      </c>
      <c r="E10" s="34" t="inlineStr">
        <is>
          <t>Market data</t>
        </is>
      </c>
    </row>
    <row r="11">
      <c r="A11" s="34" t="inlineStr">
        <is>
          <t>S08</t>
        </is>
      </c>
      <c r="B11" s="34" t="inlineStr">
        <is>
          <t>StockAnalysis / S&amp;P Global Market Intelligence - OMV AG (VIE:OMV)</t>
        </is>
      </c>
      <c r="C11" s="34" t="inlineStr">
        <is>
          <t>https://stockanalysis.com/quote/vie/OMV/statistics/</t>
        </is>
      </c>
      <c r="D11" s="34" t="inlineStr">
        <is>
          <t>2026-06-30</t>
        </is>
      </c>
      <c r="E11" s="34" t="inlineStr">
        <is>
          <t>Market data</t>
        </is>
      </c>
    </row>
    <row r="12">
      <c r="A12" s="34" t="inlineStr">
        <is>
          <t>S09</t>
        </is>
      </c>
      <c r="B12" s="34" t="inlineStr">
        <is>
          <t>StockAnalysis - listed peer comparison tables</t>
        </is>
      </c>
      <c r="C12" s="34" t="inlineStr">
        <is>
          <t>https://stockanalysis.com/stocks/compare/</t>
        </is>
      </c>
      <c r="D12" s="34" t="inlineStr">
        <is>
          <t>2026-08-04</t>
        </is>
      </c>
      <c r="E12" s="34" t="inlineStr">
        <is>
          <t>Market data</t>
        </is>
      </c>
    </row>
    <row r="13">
      <c r="A13" s="34" t="inlineStr">
        <is>
          <t>S10</t>
        </is>
      </c>
      <c r="B13" s="34" t="inlineStr">
        <is>
          <t>Analyst estimate constructed for this project</t>
        </is>
      </c>
      <c r="C13" s="34" t="inlineStr">
        <is>
          <t>n/a</t>
        </is>
      </c>
      <c r="D13" s="34" t="inlineStr">
        <is>
          <t>2026-08-04</t>
        </is>
      </c>
      <c r="E13" s="34" t="inlineStr">
        <is>
          <t>Analyst estimate</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2026-08-04T21:16:46Z</dcterms:created>
  <dcterms:modified xmlns:dcterms="http://purl.org/dc/terms/" xmlns:xsi="http://www.w3.org/2001/XMLSchema-instance" xsi:type="dcterms:W3CDTF">2026-08-04T21:16:46Z</dcterms:modified>
</cp:coreProperties>
</file>